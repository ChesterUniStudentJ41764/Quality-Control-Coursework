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Coursework\Third Year\Quality Control\"/>
    </mc:Choice>
  </mc:AlternateContent>
  <xr:revisionPtr revIDLastSave="0" documentId="13_ncr:1_{C9823555-0144-4B2C-A8D5-05D7A0DF43B9}" xr6:coauthVersionLast="36" xr6:coauthVersionMax="36" xr10:uidLastSave="{00000000-0000-0000-0000-000000000000}"/>
  <bookViews>
    <workbookView xWindow="0" yWindow="0" windowWidth="21600" windowHeight="10110" xr2:uid="{D7DA0EBF-6B6F-49C0-BB62-A53E70C16C5B}"/>
  </bookViews>
  <sheets>
    <sheet name="Tables" sheetId="1" r:id="rId1"/>
    <sheet name="OC Curves for Scheme A" sheetId="3" r:id="rId2"/>
    <sheet name="OC Curves for Scheme B" sheetId="4" r:id="rId3"/>
    <sheet name="OC Curves for Scheme C" sheetId="5"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24" i="1" l="1"/>
  <c r="G24" i="1"/>
  <c r="H24" i="1"/>
  <c r="I24" i="1"/>
  <c r="J24" i="1"/>
  <c r="K24" i="1"/>
  <c r="L24" i="1"/>
  <c r="E24" i="1"/>
  <c r="D24" i="1"/>
  <c r="F16" i="1"/>
  <c r="G16" i="1"/>
  <c r="H16" i="1"/>
  <c r="I16" i="1"/>
  <c r="J16" i="1"/>
  <c r="K16" i="1"/>
  <c r="L16" i="1"/>
  <c r="E16" i="1"/>
  <c r="D16" i="1"/>
  <c r="F8" i="1"/>
  <c r="G8" i="1"/>
  <c r="H8" i="1"/>
  <c r="I8" i="1"/>
  <c r="J8" i="1"/>
  <c r="K8" i="1"/>
  <c r="L8" i="1"/>
  <c r="E8" i="1"/>
  <c r="D8" i="1"/>
</calcChain>
</file>

<file path=xl/sharedStrings.xml><?xml version="1.0" encoding="utf-8"?>
<sst xmlns="http://schemas.openxmlformats.org/spreadsheetml/2006/main" count="28" uniqueCount="12">
  <si>
    <t>p (%)</t>
  </si>
  <si>
    <t>Scheme A, n = 5</t>
  </si>
  <si>
    <t>Scheme B, n = 10</t>
  </si>
  <si>
    <t>Infinity</t>
  </si>
  <si>
    <t>Scheme C, n =20</t>
  </si>
  <si>
    <t>P (Pop50)</t>
  </si>
  <si>
    <t>P(Pop100)</t>
  </si>
  <si>
    <t>P(Pop200)</t>
  </si>
  <si>
    <t>P(Pop500)</t>
  </si>
  <si>
    <t>P(Pop1000)</t>
  </si>
  <si>
    <t>P(PopInf)</t>
  </si>
  <si>
    <r>
      <rPr>
        <b/>
        <sz val="11"/>
        <color theme="1"/>
        <rFont val="Calibri"/>
        <family val="2"/>
        <scheme val="minor"/>
      </rPr>
      <t>README:</t>
    </r>
    <r>
      <rPr>
        <sz val="11"/>
        <color theme="1"/>
        <rFont val="Calibri"/>
        <family val="2"/>
        <scheme val="minor"/>
      </rPr>
      <t xml:space="preserve"> The rows corresponding to an infinite pipulation size were calculated using the binomial distribution directly using Excel. Running the Macro will not replace them! The OC curves are shown in automatically updating graphs in the worksheets below. Simply run the "QTwo" Macro, and the tables will fill themselves, as will the graphs.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</si>
</sst>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b/>
      <i/>
      <sz val="11"/>
      <color theme="1"/>
      <name val="Calibri"/>
      <family val="2"/>
      <scheme val="minor"/>
    </font>
  </fonts>
  <fills count="4">
    <fill>
      <patternFill patternType="none"/>
    </fill>
    <fill>
      <patternFill patternType="gray125"/>
    </fill>
    <fill>
      <patternFill patternType="solid">
        <fgColor theme="0"/>
        <bgColor indexed="64"/>
      </patternFill>
    </fill>
    <fill>
      <patternFill patternType="solid">
        <fgColor rgb="FFFFC000"/>
        <bgColor indexed="64"/>
      </patternFill>
    </fill>
  </fills>
  <borders count="7">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19">
    <xf numFmtId="0" fontId="0" fillId="0" borderId="0" xfId="0"/>
    <xf numFmtId="0" fontId="0" fillId="0" borderId="0" xfId="0" applyAlignment="1">
      <alignment horizontal="center"/>
    </xf>
    <xf numFmtId="0" fontId="0" fillId="2" borderId="0" xfId="0" applyFill="1"/>
    <xf numFmtId="0" fontId="1" fillId="2" borderId="0" xfId="0" applyFont="1" applyFill="1" applyAlignment="1">
      <alignment horizontal="center"/>
    </xf>
    <xf numFmtId="0" fontId="0" fillId="2" borderId="0" xfId="0" applyFill="1" applyAlignment="1">
      <alignment horizontal="center"/>
    </xf>
    <xf numFmtId="0" fontId="0" fillId="2" borderId="0" xfId="0" applyFill="1" applyAlignment="1">
      <alignment horizontal="center" vertical="center" wrapText="1"/>
    </xf>
    <xf numFmtId="0" fontId="0" fillId="2" borderId="0" xfId="0" applyFill="1" applyBorder="1" applyAlignment="1">
      <alignment horizontal="center"/>
    </xf>
    <xf numFmtId="0" fontId="0" fillId="2" borderId="2" xfId="0" applyFill="1" applyBorder="1" applyAlignment="1">
      <alignment horizontal="center"/>
    </xf>
    <xf numFmtId="0" fontId="0" fillId="0" borderId="0" xfId="0" applyFill="1"/>
    <xf numFmtId="0" fontId="0" fillId="0" borderId="0" xfId="0" applyFill="1" applyAlignment="1">
      <alignment horizontal="center"/>
    </xf>
    <xf numFmtId="0" fontId="2" fillId="2" borderId="1" xfId="0" applyFont="1" applyFill="1" applyBorder="1" applyAlignment="1">
      <alignment horizontal="center"/>
    </xf>
    <xf numFmtId="0" fontId="1" fillId="2" borderId="3" xfId="0" applyFont="1" applyFill="1" applyBorder="1" applyAlignment="1">
      <alignment horizontal="center"/>
    </xf>
    <xf numFmtId="0" fontId="1" fillId="2" borderId="1" xfId="0" applyFont="1" applyFill="1" applyBorder="1" applyAlignment="1">
      <alignment horizontal="center"/>
    </xf>
    <xf numFmtId="0" fontId="1" fillId="2" borderId="0" xfId="0" applyFont="1" applyFill="1" applyAlignment="1">
      <alignment horizontal="right"/>
    </xf>
    <xf numFmtId="0" fontId="0" fillId="3" borderId="2" xfId="0" applyFill="1" applyBorder="1" applyAlignment="1">
      <alignment horizontal="center"/>
    </xf>
    <xf numFmtId="0" fontId="0" fillId="3" borderId="0" xfId="0" applyFill="1" applyBorder="1" applyAlignment="1">
      <alignment horizontal="center"/>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OC Curves for Scheme</a:t>
            </a:r>
            <a:r>
              <a:rPr lang="en-GB" baseline="0"/>
              <a:t> A</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Tables!$C$3</c:f>
              <c:strCache>
                <c:ptCount val="1"/>
                <c:pt idx="0">
                  <c:v>P (Pop50)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Tables!$D$2:$L$2</c:f>
              <c:numCache>
                <c:formatCode>General</c:formatCode>
                <c:ptCount val="9"/>
                <c:pt idx="0">
                  <c:v>0</c:v>
                </c:pt>
                <c:pt idx="1">
                  <c:v>0.02</c:v>
                </c:pt>
                <c:pt idx="2">
                  <c:v>0.04</c:v>
                </c:pt>
                <c:pt idx="3">
                  <c:v>0.06</c:v>
                </c:pt>
                <c:pt idx="4">
                  <c:v>0.08</c:v>
                </c:pt>
                <c:pt idx="5">
                  <c:v>0.1</c:v>
                </c:pt>
                <c:pt idx="6">
                  <c:v>0.12</c:v>
                </c:pt>
                <c:pt idx="7">
                  <c:v>0.16</c:v>
                </c:pt>
                <c:pt idx="8">
                  <c:v>0.2</c:v>
                </c:pt>
              </c:numCache>
            </c:numRef>
          </c:xVal>
          <c:yVal>
            <c:numRef>
              <c:f>Tables!$D$3:$L$3</c:f>
              <c:numCache>
                <c:formatCode>General</c:formatCode>
                <c:ptCount val="9"/>
              </c:numCache>
            </c:numRef>
          </c:yVal>
          <c:smooth val="1"/>
          <c:extLst>
            <c:ext xmlns:c16="http://schemas.microsoft.com/office/drawing/2014/chart" uri="{C3380CC4-5D6E-409C-BE32-E72D297353CC}">
              <c16:uniqueId val="{00000000-7A72-4DD3-81DF-7A95BC5F5102}"/>
            </c:ext>
          </c:extLst>
        </c:ser>
        <c:ser>
          <c:idx val="1"/>
          <c:order val="1"/>
          <c:tx>
            <c:strRef>
              <c:f>Tables!$C$4</c:f>
              <c:strCache>
                <c:ptCount val="1"/>
                <c:pt idx="0">
                  <c:v>P(Pop100)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Tables!$D$2:$L$2</c:f>
              <c:numCache>
                <c:formatCode>General</c:formatCode>
                <c:ptCount val="9"/>
                <c:pt idx="0">
                  <c:v>0</c:v>
                </c:pt>
                <c:pt idx="1">
                  <c:v>0.02</c:v>
                </c:pt>
                <c:pt idx="2">
                  <c:v>0.04</c:v>
                </c:pt>
                <c:pt idx="3">
                  <c:v>0.06</c:v>
                </c:pt>
                <c:pt idx="4">
                  <c:v>0.08</c:v>
                </c:pt>
                <c:pt idx="5">
                  <c:v>0.1</c:v>
                </c:pt>
                <c:pt idx="6">
                  <c:v>0.12</c:v>
                </c:pt>
                <c:pt idx="7">
                  <c:v>0.16</c:v>
                </c:pt>
                <c:pt idx="8">
                  <c:v>0.2</c:v>
                </c:pt>
              </c:numCache>
            </c:numRef>
          </c:xVal>
          <c:yVal>
            <c:numRef>
              <c:f>Tables!$D$4:$L$4</c:f>
              <c:numCache>
                <c:formatCode>General</c:formatCode>
                <c:ptCount val="9"/>
              </c:numCache>
            </c:numRef>
          </c:yVal>
          <c:smooth val="1"/>
          <c:extLst>
            <c:ext xmlns:c16="http://schemas.microsoft.com/office/drawing/2014/chart" uri="{C3380CC4-5D6E-409C-BE32-E72D297353CC}">
              <c16:uniqueId val="{00000001-7A72-4DD3-81DF-7A95BC5F5102}"/>
            </c:ext>
          </c:extLst>
        </c:ser>
        <c:ser>
          <c:idx val="2"/>
          <c:order val="2"/>
          <c:tx>
            <c:strRef>
              <c:f>Tables!$C$5</c:f>
              <c:strCache>
                <c:ptCount val="1"/>
                <c:pt idx="0">
                  <c:v>P(Pop200)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Tables!$D$2:$L$2</c:f>
              <c:numCache>
                <c:formatCode>General</c:formatCode>
                <c:ptCount val="9"/>
                <c:pt idx="0">
                  <c:v>0</c:v>
                </c:pt>
                <c:pt idx="1">
                  <c:v>0.02</c:v>
                </c:pt>
                <c:pt idx="2">
                  <c:v>0.04</c:v>
                </c:pt>
                <c:pt idx="3">
                  <c:v>0.06</c:v>
                </c:pt>
                <c:pt idx="4">
                  <c:v>0.08</c:v>
                </c:pt>
                <c:pt idx="5">
                  <c:v>0.1</c:v>
                </c:pt>
                <c:pt idx="6">
                  <c:v>0.12</c:v>
                </c:pt>
                <c:pt idx="7">
                  <c:v>0.16</c:v>
                </c:pt>
                <c:pt idx="8">
                  <c:v>0.2</c:v>
                </c:pt>
              </c:numCache>
            </c:numRef>
          </c:xVal>
          <c:yVal>
            <c:numRef>
              <c:f>Tables!$D$5:$L$5</c:f>
              <c:numCache>
                <c:formatCode>General</c:formatCode>
                <c:ptCount val="9"/>
              </c:numCache>
            </c:numRef>
          </c:yVal>
          <c:smooth val="1"/>
          <c:extLst>
            <c:ext xmlns:c16="http://schemas.microsoft.com/office/drawing/2014/chart" uri="{C3380CC4-5D6E-409C-BE32-E72D297353CC}">
              <c16:uniqueId val="{00000002-7A72-4DD3-81DF-7A95BC5F5102}"/>
            </c:ext>
          </c:extLst>
        </c:ser>
        <c:ser>
          <c:idx val="3"/>
          <c:order val="3"/>
          <c:tx>
            <c:strRef>
              <c:f>Tables!$C$6</c:f>
              <c:strCache>
                <c:ptCount val="1"/>
                <c:pt idx="0">
                  <c:v>P(Pop500)</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Tables!$D$2:$L$2</c:f>
              <c:numCache>
                <c:formatCode>General</c:formatCode>
                <c:ptCount val="9"/>
                <c:pt idx="0">
                  <c:v>0</c:v>
                </c:pt>
                <c:pt idx="1">
                  <c:v>0.02</c:v>
                </c:pt>
                <c:pt idx="2">
                  <c:v>0.04</c:v>
                </c:pt>
                <c:pt idx="3">
                  <c:v>0.06</c:v>
                </c:pt>
                <c:pt idx="4">
                  <c:v>0.08</c:v>
                </c:pt>
                <c:pt idx="5">
                  <c:v>0.1</c:v>
                </c:pt>
                <c:pt idx="6">
                  <c:v>0.12</c:v>
                </c:pt>
                <c:pt idx="7">
                  <c:v>0.16</c:v>
                </c:pt>
                <c:pt idx="8">
                  <c:v>0.2</c:v>
                </c:pt>
              </c:numCache>
            </c:numRef>
          </c:xVal>
          <c:yVal>
            <c:numRef>
              <c:f>Tables!$D$6:$L$6</c:f>
              <c:numCache>
                <c:formatCode>General</c:formatCode>
                <c:ptCount val="9"/>
              </c:numCache>
            </c:numRef>
          </c:yVal>
          <c:smooth val="1"/>
          <c:extLst>
            <c:ext xmlns:c16="http://schemas.microsoft.com/office/drawing/2014/chart" uri="{C3380CC4-5D6E-409C-BE32-E72D297353CC}">
              <c16:uniqueId val="{00000003-7A72-4DD3-81DF-7A95BC5F5102}"/>
            </c:ext>
          </c:extLst>
        </c:ser>
        <c:ser>
          <c:idx val="4"/>
          <c:order val="4"/>
          <c:tx>
            <c:strRef>
              <c:f>Tables!$C$7</c:f>
              <c:strCache>
                <c:ptCount val="1"/>
                <c:pt idx="0">
                  <c:v>P(Pop1000)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Tables!$D$2:$L$2</c:f>
              <c:numCache>
                <c:formatCode>General</c:formatCode>
                <c:ptCount val="9"/>
                <c:pt idx="0">
                  <c:v>0</c:v>
                </c:pt>
                <c:pt idx="1">
                  <c:v>0.02</c:v>
                </c:pt>
                <c:pt idx="2">
                  <c:v>0.04</c:v>
                </c:pt>
                <c:pt idx="3">
                  <c:v>0.06</c:v>
                </c:pt>
                <c:pt idx="4">
                  <c:v>0.08</c:v>
                </c:pt>
                <c:pt idx="5">
                  <c:v>0.1</c:v>
                </c:pt>
                <c:pt idx="6">
                  <c:v>0.12</c:v>
                </c:pt>
                <c:pt idx="7">
                  <c:v>0.16</c:v>
                </c:pt>
                <c:pt idx="8">
                  <c:v>0.2</c:v>
                </c:pt>
              </c:numCache>
            </c:numRef>
          </c:xVal>
          <c:yVal>
            <c:numRef>
              <c:f>Tables!$D$7:$L$7</c:f>
              <c:numCache>
                <c:formatCode>General</c:formatCode>
                <c:ptCount val="9"/>
              </c:numCache>
            </c:numRef>
          </c:yVal>
          <c:smooth val="1"/>
          <c:extLst>
            <c:ext xmlns:c16="http://schemas.microsoft.com/office/drawing/2014/chart" uri="{C3380CC4-5D6E-409C-BE32-E72D297353CC}">
              <c16:uniqueId val="{00000004-7A72-4DD3-81DF-7A95BC5F5102}"/>
            </c:ext>
          </c:extLst>
        </c:ser>
        <c:ser>
          <c:idx val="5"/>
          <c:order val="5"/>
          <c:tx>
            <c:strRef>
              <c:f>Tables!$C$8</c:f>
              <c:strCache>
                <c:ptCount val="1"/>
                <c:pt idx="0">
                  <c:v>P(PopInf)</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Tables!$D$2:$L$2</c:f>
              <c:numCache>
                <c:formatCode>General</c:formatCode>
                <c:ptCount val="9"/>
                <c:pt idx="0">
                  <c:v>0</c:v>
                </c:pt>
                <c:pt idx="1">
                  <c:v>0.02</c:v>
                </c:pt>
                <c:pt idx="2">
                  <c:v>0.04</c:v>
                </c:pt>
                <c:pt idx="3">
                  <c:v>0.06</c:v>
                </c:pt>
                <c:pt idx="4">
                  <c:v>0.08</c:v>
                </c:pt>
                <c:pt idx="5">
                  <c:v>0.1</c:v>
                </c:pt>
                <c:pt idx="6">
                  <c:v>0.12</c:v>
                </c:pt>
                <c:pt idx="7">
                  <c:v>0.16</c:v>
                </c:pt>
                <c:pt idx="8">
                  <c:v>0.2</c:v>
                </c:pt>
              </c:numCache>
            </c:numRef>
          </c:xVal>
          <c:yVal>
            <c:numRef>
              <c:f>Tables!$D$8:$L$8</c:f>
              <c:numCache>
                <c:formatCode>General</c:formatCode>
                <c:ptCount val="9"/>
                <c:pt idx="0">
                  <c:v>1</c:v>
                </c:pt>
                <c:pt idx="1">
                  <c:v>0.90392079679999982</c:v>
                </c:pt>
                <c:pt idx="2">
                  <c:v>0.81537269759999997</c:v>
                </c:pt>
                <c:pt idx="3">
                  <c:v>0.73390402239999986</c:v>
                </c:pt>
                <c:pt idx="4">
                  <c:v>0.65908152320000013</c:v>
                </c:pt>
                <c:pt idx="5">
                  <c:v>0.59049000000000018</c:v>
                </c:pt>
                <c:pt idx="6">
                  <c:v>0.52773191679999998</c:v>
                </c:pt>
                <c:pt idx="7">
                  <c:v>0.41821194239999987</c:v>
                </c:pt>
                <c:pt idx="8">
                  <c:v>0.32768000000000019</c:v>
                </c:pt>
              </c:numCache>
            </c:numRef>
          </c:yVal>
          <c:smooth val="1"/>
          <c:extLst>
            <c:ext xmlns:c16="http://schemas.microsoft.com/office/drawing/2014/chart" uri="{C3380CC4-5D6E-409C-BE32-E72D297353CC}">
              <c16:uniqueId val="{00000005-7A72-4DD3-81DF-7A95BC5F5102}"/>
            </c:ext>
          </c:extLst>
        </c:ser>
        <c:dLbls>
          <c:showLegendKey val="0"/>
          <c:showVal val="0"/>
          <c:showCatName val="0"/>
          <c:showSerName val="0"/>
          <c:showPercent val="0"/>
          <c:showBubbleSize val="0"/>
        </c:dLbls>
        <c:axId val="120399455"/>
        <c:axId val="199797375"/>
      </c:scatterChart>
      <c:valAx>
        <c:axId val="120399455"/>
        <c:scaling>
          <c:orientation val="minMax"/>
          <c:max val="0.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Proportio</a:t>
                </a:r>
                <a:r>
                  <a:rPr lang="en-GB" baseline="0"/>
                  <a:t>n of Defectives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797375"/>
        <c:crosses val="autoZero"/>
        <c:crossBetween val="midCat"/>
      </c:valAx>
      <c:valAx>
        <c:axId val="199797375"/>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Probability</a:t>
                </a:r>
                <a:r>
                  <a:rPr lang="en-GB" baseline="0"/>
                  <a:t> of Acceptance</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9945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OC Curves for Scheme</a:t>
            </a:r>
            <a:r>
              <a:rPr lang="en-GB" baseline="0"/>
              <a:t> B</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Tables!$C$11</c:f>
              <c:strCache>
                <c:ptCount val="1"/>
                <c:pt idx="0">
                  <c:v>P (Pop50)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Tables!$D$10:$L$10</c:f>
              <c:numCache>
                <c:formatCode>General</c:formatCode>
                <c:ptCount val="9"/>
                <c:pt idx="0">
                  <c:v>0</c:v>
                </c:pt>
                <c:pt idx="1">
                  <c:v>0.02</c:v>
                </c:pt>
                <c:pt idx="2">
                  <c:v>0.04</c:v>
                </c:pt>
                <c:pt idx="3">
                  <c:v>0.06</c:v>
                </c:pt>
                <c:pt idx="4">
                  <c:v>0.08</c:v>
                </c:pt>
                <c:pt idx="5">
                  <c:v>0.1</c:v>
                </c:pt>
                <c:pt idx="6">
                  <c:v>0.12</c:v>
                </c:pt>
                <c:pt idx="7">
                  <c:v>0.16</c:v>
                </c:pt>
                <c:pt idx="8">
                  <c:v>0.2</c:v>
                </c:pt>
              </c:numCache>
            </c:numRef>
          </c:xVal>
          <c:yVal>
            <c:numRef>
              <c:f>Tables!$D$11:$L$11</c:f>
              <c:numCache>
                <c:formatCode>General</c:formatCode>
                <c:ptCount val="9"/>
              </c:numCache>
            </c:numRef>
          </c:yVal>
          <c:smooth val="1"/>
          <c:extLst>
            <c:ext xmlns:c16="http://schemas.microsoft.com/office/drawing/2014/chart" uri="{C3380CC4-5D6E-409C-BE32-E72D297353CC}">
              <c16:uniqueId val="{00000000-7906-4D66-BB29-6372338A2C5F}"/>
            </c:ext>
          </c:extLst>
        </c:ser>
        <c:ser>
          <c:idx val="1"/>
          <c:order val="1"/>
          <c:tx>
            <c:strRef>
              <c:f>Tables!$C$12</c:f>
              <c:strCache>
                <c:ptCount val="1"/>
                <c:pt idx="0">
                  <c:v>P(Pop100)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Tables!$D$10:$L$10</c:f>
              <c:numCache>
                <c:formatCode>General</c:formatCode>
                <c:ptCount val="9"/>
                <c:pt idx="0">
                  <c:v>0</c:v>
                </c:pt>
                <c:pt idx="1">
                  <c:v>0.02</c:v>
                </c:pt>
                <c:pt idx="2">
                  <c:v>0.04</c:v>
                </c:pt>
                <c:pt idx="3">
                  <c:v>0.06</c:v>
                </c:pt>
                <c:pt idx="4">
                  <c:v>0.08</c:v>
                </c:pt>
                <c:pt idx="5">
                  <c:v>0.1</c:v>
                </c:pt>
                <c:pt idx="6">
                  <c:v>0.12</c:v>
                </c:pt>
                <c:pt idx="7">
                  <c:v>0.16</c:v>
                </c:pt>
                <c:pt idx="8">
                  <c:v>0.2</c:v>
                </c:pt>
              </c:numCache>
            </c:numRef>
          </c:xVal>
          <c:yVal>
            <c:numRef>
              <c:f>Tables!$D$12:$L$12</c:f>
              <c:numCache>
                <c:formatCode>General</c:formatCode>
                <c:ptCount val="9"/>
              </c:numCache>
            </c:numRef>
          </c:yVal>
          <c:smooth val="1"/>
          <c:extLst>
            <c:ext xmlns:c16="http://schemas.microsoft.com/office/drawing/2014/chart" uri="{C3380CC4-5D6E-409C-BE32-E72D297353CC}">
              <c16:uniqueId val="{00000001-7906-4D66-BB29-6372338A2C5F}"/>
            </c:ext>
          </c:extLst>
        </c:ser>
        <c:ser>
          <c:idx val="2"/>
          <c:order val="2"/>
          <c:tx>
            <c:strRef>
              <c:f>Tables!$C$13</c:f>
              <c:strCache>
                <c:ptCount val="1"/>
                <c:pt idx="0">
                  <c:v>P(Pop200)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Tables!$D$10:$L$10</c:f>
              <c:numCache>
                <c:formatCode>General</c:formatCode>
                <c:ptCount val="9"/>
                <c:pt idx="0">
                  <c:v>0</c:v>
                </c:pt>
                <c:pt idx="1">
                  <c:v>0.02</c:v>
                </c:pt>
                <c:pt idx="2">
                  <c:v>0.04</c:v>
                </c:pt>
                <c:pt idx="3">
                  <c:v>0.06</c:v>
                </c:pt>
                <c:pt idx="4">
                  <c:v>0.08</c:v>
                </c:pt>
                <c:pt idx="5">
                  <c:v>0.1</c:v>
                </c:pt>
                <c:pt idx="6">
                  <c:v>0.12</c:v>
                </c:pt>
                <c:pt idx="7">
                  <c:v>0.16</c:v>
                </c:pt>
                <c:pt idx="8">
                  <c:v>0.2</c:v>
                </c:pt>
              </c:numCache>
            </c:numRef>
          </c:xVal>
          <c:yVal>
            <c:numRef>
              <c:f>Tables!$D$13:$L$13</c:f>
              <c:numCache>
                <c:formatCode>General</c:formatCode>
                <c:ptCount val="9"/>
              </c:numCache>
            </c:numRef>
          </c:yVal>
          <c:smooth val="1"/>
          <c:extLst>
            <c:ext xmlns:c16="http://schemas.microsoft.com/office/drawing/2014/chart" uri="{C3380CC4-5D6E-409C-BE32-E72D297353CC}">
              <c16:uniqueId val="{00000002-7906-4D66-BB29-6372338A2C5F}"/>
            </c:ext>
          </c:extLst>
        </c:ser>
        <c:ser>
          <c:idx val="3"/>
          <c:order val="3"/>
          <c:tx>
            <c:strRef>
              <c:f>Tables!$C$14</c:f>
              <c:strCache>
                <c:ptCount val="1"/>
                <c:pt idx="0">
                  <c:v>P(Pop500)</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Tables!$D$10:$L$10</c:f>
              <c:numCache>
                <c:formatCode>General</c:formatCode>
                <c:ptCount val="9"/>
                <c:pt idx="0">
                  <c:v>0</c:v>
                </c:pt>
                <c:pt idx="1">
                  <c:v>0.02</c:v>
                </c:pt>
                <c:pt idx="2">
                  <c:v>0.04</c:v>
                </c:pt>
                <c:pt idx="3">
                  <c:v>0.06</c:v>
                </c:pt>
                <c:pt idx="4">
                  <c:v>0.08</c:v>
                </c:pt>
                <c:pt idx="5">
                  <c:v>0.1</c:v>
                </c:pt>
                <c:pt idx="6">
                  <c:v>0.12</c:v>
                </c:pt>
                <c:pt idx="7">
                  <c:v>0.16</c:v>
                </c:pt>
                <c:pt idx="8">
                  <c:v>0.2</c:v>
                </c:pt>
              </c:numCache>
            </c:numRef>
          </c:xVal>
          <c:yVal>
            <c:numRef>
              <c:f>Tables!$D$14:$L$14</c:f>
              <c:numCache>
                <c:formatCode>General</c:formatCode>
                <c:ptCount val="9"/>
              </c:numCache>
            </c:numRef>
          </c:yVal>
          <c:smooth val="1"/>
          <c:extLst>
            <c:ext xmlns:c16="http://schemas.microsoft.com/office/drawing/2014/chart" uri="{C3380CC4-5D6E-409C-BE32-E72D297353CC}">
              <c16:uniqueId val="{00000003-7906-4D66-BB29-6372338A2C5F}"/>
            </c:ext>
          </c:extLst>
        </c:ser>
        <c:ser>
          <c:idx val="4"/>
          <c:order val="4"/>
          <c:tx>
            <c:strRef>
              <c:f>Tables!$C$15</c:f>
              <c:strCache>
                <c:ptCount val="1"/>
                <c:pt idx="0">
                  <c:v>P(Pop1000)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Tables!$D$10:$L$10</c:f>
              <c:numCache>
                <c:formatCode>General</c:formatCode>
                <c:ptCount val="9"/>
                <c:pt idx="0">
                  <c:v>0</c:v>
                </c:pt>
                <c:pt idx="1">
                  <c:v>0.02</c:v>
                </c:pt>
                <c:pt idx="2">
                  <c:v>0.04</c:v>
                </c:pt>
                <c:pt idx="3">
                  <c:v>0.06</c:v>
                </c:pt>
                <c:pt idx="4">
                  <c:v>0.08</c:v>
                </c:pt>
                <c:pt idx="5">
                  <c:v>0.1</c:v>
                </c:pt>
                <c:pt idx="6">
                  <c:v>0.12</c:v>
                </c:pt>
                <c:pt idx="7">
                  <c:v>0.16</c:v>
                </c:pt>
                <c:pt idx="8">
                  <c:v>0.2</c:v>
                </c:pt>
              </c:numCache>
            </c:numRef>
          </c:xVal>
          <c:yVal>
            <c:numRef>
              <c:f>Tables!$D$15:$L$15</c:f>
              <c:numCache>
                <c:formatCode>General</c:formatCode>
                <c:ptCount val="9"/>
              </c:numCache>
            </c:numRef>
          </c:yVal>
          <c:smooth val="1"/>
          <c:extLst>
            <c:ext xmlns:c16="http://schemas.microsoft.com/office/drawing/2014/chart" uri="{C3380CC4-5D6E-409C-BE32-E72D297353CC}">
              <c16:uniqueId val="{00000004-7906-4D66-BB29-6372338A2C5F}"/>
            </c:ext>
          </c:extLst>
        </c:ser>
        <c:ser>
          <c:idx val="5"/>
          <c:order val="5"/>
          <c:tx>
            <c:strRef>
              <c:f>Tables!$C$16</c:f>
              <c:strCache>
                <c:ptCount val="1"/>
                <c:pt idx="0">
                  <c:v>P(PopInf)</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Tables!$D$10:$L$10</c:f>
              <c:numCache>
                <c:formatCode>General</c:formatCode>
                <c:ptCount val="9"/>
                <c:pt idx="0">
                  <c:v>0</c:v>
                </c:pt>
                <c:pt idx="1">
                  <c:v>0.02</c:v>
                </c:pt>
                <c:pt idx="2">
                  <c:v>0.04</c:v>
                </c:pt>
                <c:pt idx="3">
                  <c:v>0.06</c:v>
                </c:pt>
                <c:pt idx="4">
                  <c:v>0.08</c:v>
                </c:pt>
                <c:pt idx="5">
                  <c:v>0.1</c:v>
                </c:pt>
                <c:pt idx="6">
                  <c:v>0.12</c:v>
                </c:pt>
                <c:pt idx="7">
                  <c:v>0.16</c:v>
                </c:pt>
                <c:pt idx="8">
                  <c:v>0.2</c:v>
                </c:pt>
              </c:numCache>
            </c:numRef>
          </c:xVal>
          <c:yVal>
            <c:numRef>
              <c:f>Tables!$D$16:$L$16</c:f>
              <c:numCache>
                <c:formatCode>General</c:formatCode>
                <c:ptCount val="9"/>
                <c:pt idx="0">
                  <c:v>1</c:v>
                </c:pt>
                <c:pt idx="1">
                  <c:v>0.81707280688754658</c:v>
                </c:pt>
                <c:pt idx="2">
                  <c:v>0.664832635991501</c:v>
                </c:pt>
                <c:pt idx="3">
                  <c:v>0.53861511409489959</c:v>
                </c:pt>
                <c:pt idx="4">
                  <c:v>0.43438845422363231</c:v>
                </c:pt>
                <c:pt idx="5">
                  <c:v>0.34867844010000015</c:v>
                </c:pt>
                <c:pt idx="6">
                  <c:v>0.2785009760094021</c:v>
                </c:pt>
                <c:pt idx="7">
                  <c:v>0.1749012287659808</c:v>
                </c:pt>
                <c:pt idx="8">
                  <c:v>0.10737418240000011</c:v>
                </c:pt>
              </c:numCache>
            </c:numRef>
          </c:yVal>
          <c:smooth val="1"/>
          <c:extLst>
            <c:ext xmlns:c16="http://schemas.microsoft.com/office/drawing/2014/chart" uri="{C3380CC4-5D6E-409C-BE32-E72D297353CC}">
              <c16:uniqueId val="{00000005-7906-4D66-BB29-6372338A2C5F}"/>
            </c:ext>
          </c:extLst>
        </c:ser>
        <c:dLbls>
          <c:showLegendKey val="0"/>
          <c:showVal val="0"/>
          <c:showCatName val="0"/>
          <c:showSerName val="0"/>
          <c:showPercent val="0"/>
          <c:showBubbleSize val="0"/>
        </c:dLbls>
        <c:axId val="120399455"/>
        <c:axId val="199797375"/>
      </c:scatterChart>
      <c:valAx>
        <c:axId val="120399455"/>
        <c:scaling>
          <c:orientation val="minMax"/>
          <c:max val="0.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Proportio</a:t>
                </a:r>
                <a:r>
                  <a:rPr lang="en-GB" baseline="0"/>
                  <a:t>n of Defectives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797375"/>
        <c:crosses val="autoZero"/>
        <c:crossBetween val="midCat"/>
      </c:valAx>
      <c:valAx>
        <c:axId val="199797375"/>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Probability</a:t>
                </a:r>
                <a:r>
                  <a:rPr lang="en-GB" baseline="0"/>
                  <a:t> of Acceptance</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9945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OC Curves for Scheme</a:t>
            </a:r>
            <a:r>
              <a:rPr lang="en-GB" baseline="0"/>
              <a:t> C</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Tables!$C$19</c:f>
              <c:strCache>
                <c:ptCount val="1"/>
                <c:pt idx="0">
                  <c:v>P (Pop50)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Tables!$D$18:$L$18</c:f>
              <c:numCache>
                <c:formatCode>General</c:formatCode>
                <c:ptCount val="9"/>
                <c:pt idx="0">
                  <c:v>0</c:v>
                </c:pt>
                <c:pt idx="1">
                  <c:v>0.02</c:v>
                </c:pt>
                <c:pt idx="2">
                  <c:v>0.04</c:v>
                </c:pt>
                <c:pt idx="3">
                  <c:v>0.06</c:v>
                </c:pt>
                <c:pt idx="4">
                  <c:v>0.08</c:v>
                </c:pt>
                <c:pt idx="5">
                  <c:v>0.1</c:v>
                </c:pt>
                <c:pt idx="6">
                  <c:v>0.12</c:v>
                </c:pt>
                <c:pt idx="7">
                  <c:v>0.16</c:v>
                </c:pt>
                <c:pt idx="8">
                  <c:v>0.2</c:v>
                </c:pt>
              </c:numCache>
            </c:numRef>
          </c:xVal>
          <c:yVal>
            <c:numRef>
              <c:f>Tables!$D$19:$L$19</c:f>
              <c:numCache>
                <c:formatCode>General</c:formatCode>
                <c:ptCount val="9"/>
              </c:numCache>
            </c:numRef>
          </c:yVal>
          <c:smooth val="1"/>
          <c:extLst>
            <c:ext xmlns:c16="http://schemas.microsoft.com/office/drawing/2014/chart" uri="{C3380CC4-5D6E-409C-BE32-E72D297353CC}">
              <c16:uniqueId val="{00000000-F1A6-44EE-96DC-DED2DC66C9FE}"/>
            </c:ext>
          </c:extLst>
        </c:ser>
        <c:ser>
          <c:idx val="1"/>
          <c:order val="1"/>
          <c:tx>
            <c:strRef>
              <c:f>Tables!$C$20</c:f>
              <c:strCache>
                <c:ptCount val="1"/>
                <c:pt idx="0">
                  <c:v>P(Pop100)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Tables!$D$18:$L$18</c:f>
              <c:numCache>
                <c:formatCode>General</c:formatCode>
                <c:ptCount val="9"/>
                <c:pt idx="0">
                  <c:v>0</c:v>
                </c:pt>
                <c:pt idx="1">
                  <c:v>0.02</c:v>
                </c:pt>
                <c:pt idx="2">
                  <c:v>0.04</c:v>
                </c:pt>
                <c:pt idx="3">
                  <c:v>0.06</c:v>
                </c:pt>
                <c:pt idx="4">
                  <c:v>0.08</c:v>
                </c:pt>
                <c:pt idx="5">
                  <c:v>0.1</c:v>
                </c:pt>
                <c:pt idx="6">
                  <c:v>0.12</c:v>
                </c:pt>
                <c:pt idx="7">
                  <c:v>0.16</c:v>
                </c:pt>
                <c:pt idx="8">
                  <c:v>0.2</c:v>
                </c:pt>
              </c:numCache>
            </c:numRef>
          </c:xVal>
          <c:yVal>
            <c:numRef>
              <c:f>Tables!$D$20:$L$20</c:f>
              <c:numCache>
                <c:formatCode>General</c:formatCode>
                <c:ptCount val="9"/>
              </c:numCache>
            </c:numRef>
          </c:yVal>
          <c:smooth val="1"/>
          <c:extLst>
            <c:ext xmlns:c16="http://schemas.microsoft.com/office/drawing/2014/chart" uri="{C3380CC4-5D6E-409C-BE32-E72D297353CC}">
              <c16:uniqueId val="{00000001-F1A6-44EE-96DC-DED2DC66C9FE}"/>
            </c:ext>
          </c:extLst>
        </c:ser>
        <c:ser>
          <c:idx val="2"/>
          <c:order val="2"/>
          <c:tx>
            <c:strRef>
              <c:f>Tables!$C$21</c:f>
              <c:strCache>
                <c:ptCount val="1"/>
                <c:pt idx="0">
                  <c:v>P(Pop200)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Tables!$D$18:$L$18</c:f>
              <c:numCache>
                <c:formatCode>General</c:formatCode>
                <c:ptCount val="9"/>
                <c:pt idx="0">
                  <c:v>0</c:v>
                </c:pt>
                <c:pt idx="1">
                  <c:v>0.02</c:v>
                </c:pt>
                <c:pt idx="2">
                  <c:v>0.04</c:v>
                </c:pt>
                <c:pt idx="3">
                  <c:v>0.06</c:v>
                </c:pt>
                <c:pt idx="4">
                  <c:v>0.08</c:v>
                </c:pt>
                <c:pt idx="5">
                  <c:v>0.1</c:v>
                </c:pt>
                <c:pt idx="6">
                  <c:v>0.12</c:v>
                </c:pt>
                <c:pt idx="7">
                  <c:v>0.16</c:v>
                </c:pt>
                <c:pt idx="8">
                  <c:v>0.2</c:v>
                </c:pt>
              </c:numCache>
            </c:numRef>
          </c:xVal>
          <c:yVal>
            <c:numRef>
              <c:f>Tables!$D$21:$L$21</c:f>
              <c:numCache>
                <c:formatCode>General</c:formatCode>
                <c:ptCount val="9"/>
              </c:numCache>
            </c:numRef>
          </c:yVal>
          <c:smooth val="1"/>
          <c:extLst>
            <c:ext xmlns:c16="http://schemas.microsoft.com/office/drawing/2014/chart" uri="{C3380CC4-5D6E-409C-BE32-E72D297353CC}">
              <c16:uniqueId val="{00000002-F1A6-44EE-96DC-DED2DC66C9FE}"/>
            </c:ext>
          </c:extLst>
        </c:ser>
        <c:ser>
          <c:idx val="3"/>
          <c:order val="3"/>
          <c:tx>
            <c:strRef>
              <c:f>Tables!$C$22</c:f>
              <c:strCache>
                <c:ptCount val="1"/>
                <c:pt idx="0">
                  <c:v>P(Pop500)</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Tables!$D$18:$L$18</c:f>
              <c:numCache>
                <c:formatCode>General</c:formatCode>
                <c:ptCount val="9"/>
                <c:pt idx="0">
                  <c:v>0</c:v>
                </c:pt>
                <c:pt idx="1">
                  <c:v>0.02</c:v>
                </c:pt>
                <c:pt idx="2">
                  <c:v>0.04</c:v>
                </c:pt>
                <c:pt idx="3">
                  <c:v>0.06</c:v>
                </c:pt>
                <c:pt idx="4">
                  <c:v>0.08</c:v>
                </c:pt>
                <c:pt idx="5">
                  <c:v>0.1</c:v>
                </c:pt>
                <c:pt idx="6">
                  <c:v>0.12</c:v>
                </c:pt>
                <c:pt idx="7">
                  <c:v>0.16</c:v>
                </c:pt>
                <c:pt idx="8">
                  <c:v>0.2</c:v>
                </c:pt>
              </c:numCache>
            </c:numRef>
          </c:xVal>
          <c:yVal>
            <c:numRef>
              <c:f>Tables!$D$22:$L$22</c:f>
              <c:numCache>
                <c:formatCode>General</c:formatCode>
                <c:ptCount val="9"/>
              </c:numCache>
            </c:numRef>
          </c:yVal>
          <c:smooth val="1"/>
          <c:extLst>
            <c:ext xmlns:c16="http://schemas.microsoft.com/office/drawing/2014/chart" uri="{C3380CC4-5D6E-409C-BE32-E72D297353CC}">
              <c16:uniqueId val="{00000003-F1A6-44EE-96DC-DED2DC66C9FE}"/>
            </c:ext>
          </c:extLst>
        </c:ser>
        <c:ser>
          <c:idx val="4"/>
          <c:order val="4"/>
          <c:tx>
            <c:strRef>
              <c:f>Tables!$C$23</c:f>
              <c:strCache>
                <c:ptCount val="1"/>
                <c:pt idx="0">
                  <c:v>P(Pop1000)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Tables!$D$18:$L$18</c:f>
              <c:numCache>
                <c:formatCode>General</c:formatCode>
                <c:ptCount val="9"/>
                <c:pt idx="0">
                  <c:v>0</c:v>
                </c:pt>
                <c:pt idx="1">
                  <c:v>0.02</c:v>
                </c:pt>
                <c:pt idx="2">
                  <c:v>0.04</c:v>
                </c:pt>
                <c:pt idx="3">
                  <c:v>0.06</c:v>
                </c:pt>
                <c:pt idx="4">
                  <c:v>0.08</c:v>
                </c:pt>
                <c:pt idx="5">
                  <c:v>0.1</c:v>
                </c:pt>
                <c:pt idx="6">
                  <c:v>0.12</c:v>
                </c:pt>
                <c:pt idx="7">
                  <c:v>0.16</c:v>
                </c:pt>
                <c:pt idx="8">
                  <c:v>0.2</c:v>
                </c:pt>
              </c:numCache>
            </c:numRef>
          </c:xVal>
          <c:yVal>
            <c:numRef>
              <c:f>Tables!$D$23:$L$23</c:f>
              <c:numCache>
                <c:formatCode>General</c:formatCode>
                <c:ptCount val="9"/>
              </c:numCache>
            </c:numRef>
          </c:yVal>
          <c:smooth val="1"/>
          <c:extLst>
            <c:ext xmlns:c16="http://schemas.microsoft.com/office/drawing/2014/chart" uri="{C3380CC4-5D6E-409C-BE32-E72D297353CC}">
              <c16:uniqueId val="{00000004-F1A6-44EE-96DC-DED2DC66C9FE}"/>
            </c:ext>
          </c:extLst>
        </c:ser>
        <c:ser>
          <c:idx val="5"/>
          <c:order val="5"/>
          <c:tx>
            <c:strRef>
              <c:f>Tables!$C$24</c:f>
              <c:strCache>
                <c:ptCount val="1"/>
                <c:pt idx="0">
                  <c:v>P(PopInf)</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Tables!$D$18:$L$18</c:f>
              <c:numCache>
                <c:formatCode>General</c:formatCode>
                <c:ptCount val="9"/>
                <c:pt idx="0">
                  <c:v>0</c:v>
                </c:pt>
                <c:pt idx="1">
                  <c:v>0.02</c:v>
                </c:pt>
                <c:pt idx="2">
                  <c:v>0.04</c:v>
                </c:pt>
                <c:pt idx="3">
                  <c:v>0.06</c:v>
                </c:pt>
                <c:pt idx="4">
                  <c:v>0.08</c:v>
                </c:pt>
                <c:pt idx="5">
                  <c:v>0.1</c:v>
                </c:pt>
                <c:pt idx="6">
                  <c:v>0.12</c:v>
                </c:pt>
                <c:pt idx="7">
                  <c:v>0.16</c:v>
                </c:pt>
                <c:pt idx="8">
                  <c:v>0.2</c:v>
                </c:pt>
              </c:numCache>
            </c:numRef>
          </c:xVal>
          <c:yVal>
            <c:numRef>
              <c:f>Tables!$D$24:$L$24</c:f>
              <c:numCache>
                <c:formatCode>General</c:formatCode>
                <c:ptCount val="9"/>
                <c:pt idx="0">
                  <c:v>1</c:v>
                </c:pt>
                <c:pt idx="1">
                  <c:v>0.66760797175509412</c:v>
                </c:pt>
                <c:pt idx="2">
                  <c:v>0.44200243387940769</c:v>
                </c:pt>
                <c:pt idx="3">
                  <c:v>0.29010624113146172</c:v>
                </c:pt>
                <c:pt idx="4">
                  <c:v>0.18869332916279669</c:v>
                </c:pt>
                <c:pt idx="5">
                  <c:v>0.12157665459056941</c:v>
                </c:pt>
                <c:pt idx="6">
                  <c:v>7.7562793638189576E-2</c:v>
                </c:pt>
                <c:pt idx="7">
                  <c:v>3.0590439823849954E-2</c:v>
                </c:pt>
                <c:pt idx="8">
                  <c:v>1.1529215046068495E-2</c:v>
                </c:pt>
              </c:numCache>
            </c:numRef>
          </c:yVal>
          <c:smooth val="1"/>
          <c:extLst>
            <c:ext xmlns:c16="http://schemas.microsoft.com/office/drawing/2014/chart" uri="{C3380CC4-5D6E-409C-BE32-E72D297353CC}">
              <c16:uniqueId val="{00000005-F1A6-44EE-96DC-DED2DC66C9FE}"/>
            </c:ext>
          </c:extLst>
        </c:ser>
        <c:dLbls>
          <c:showLegendKey val="0"/>
          <c:showVal val="0"/>
          <c:showCatName val="0"/>
          <c:showSerName val="0"/>
          <c:showPercent val="0"/>
          <c:showBubbleSize val="0"/>
        </c:dLbls>
        <c:axId val="120399455"/>
        <c:axId val="199797375"/>
      </c:scatterChart>
      <c:valAx>
        <c:axId val="120399455"/>
        <c:scaling>
          <c:orientation val="minMax"/>
          <c:max val="0.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Proportio</a:t>
                </a:r>
                <a:r>
                  <a:rPr lang="en-GB" baseline="0"/>
                  <a:t>n of Defectives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797375"/>
        <c:crosses val="autoZero"/>
        <c:crossBetween val="midCat"/>
      </c:valAx>
      <c:valAx>
        <c:axId val="199797375"/>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Probability</a:t>
                </a:r>
                <a:r>
                  <a:rPr lang="en-GB" baseline="0"/>
                  <a:t> of Acceptance</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9945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19049</xdr:colOff>
      <xdr:row>0</xdr:row>
      <xdr:rowOff>19049</xdr:rowOff>
    </xdr:from>
    <xdr:to>
      <xdr:col>16</xdr:col>
      <xdr:colOff>142874</xdr:colOff>
      <xdr:row>31</xdr:row>
      <xdr:rowOff>40004</xdr:rowOff>
    </xdr:to>
    <xdr:graphicFrame macro="">
      <xdr:nvGraphicFramePr>
        <xdr:cNvPr id="6" name="Chart 5">
          <a:extLst>
            <a:ext uri="{FF2B5EF4-FFF2-40B4-BE49-F238E27FC236}">
              <a16:creationId xmlns:a16="http://schemas.microsoft.com/office/drawing/2014/main" id="{DE8B8559-36BC-443B-9BB8-2432EBD22E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0</xdr:row>
      <xdr:rowOff>19050</xdr:rowOff>
    </xdr:from>
    <xdr:to>
      <xdr:col>16</xdr:col>
      <xdr:colOff>142875</xdr:colOff>
      <xdr:row>31</xdr:row>
      <xdr:rowOff>40005</xdr:rowOff>
    </xdr:to>
    <xdr:graphicFrame macro="">
      <xdr:nvGraphicFramePr>
        <xdr:cNvPr id="2" name="Chart 1">
          <a:extLst>
            <a:ext uri="{FF2B5EF4-FFF2-40B4-BE49-F238E27FC236}">
              <a16:creationId xmlns:a16="http://schemas.microsoft.com/office/drawing/2014/main" id="{1D1A413B-E896-4BC9-BD9C-C295B54A62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28575</xdr:rowOff>
    </xdr:from>
    <xdr:to>
      <xdr:col>16</xdr:col>
      <xdr:colOff>142875</xdr:colOff>
      <xdr:row>31</xdr:row>
      <xdr:rowOff>49530</xdr:rowOff>
    </xdr:to>
    <xdr:graphicFrame macro="">
      <xdr:nvGraphicFramePr>
        <xdr:cNvPr id="2" name="Chart 1">
          <a:extLst>
            <a:ext uri="{FF2B5EF4-FFF2-40B4-BE49-F238E27FC236}">
              <a16:creationId xmlns:a16="http://schemas.microsoft.com/office/drawing/2014/main" id="{EF5F8A1A-44A5-42C5-9913-1C58769B38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647F7-FBAA-4653-BD1E-177843FC361C}">
  <sheetPr codeName="Sheet1">
    <pageSetUpPr autoPageBreaks="0"/>
  </sheetPr>
  <dimension ref="A1:O31"/>
  <sheetViews>
    <sheetView tabSelected="1" workbookViewId="0">
      <selection activeCell="P14" sqref="P14"/>
    </sheetView>
  </sheetViews>
  <sheetFormatPr defaultRowHeight="15" x14ac:dyDescent="0.25"/>
  <cols>
    <col min="1" max="1" width="2.85546875" customWidth="1"/>
    <col min="2" max="2" width="15.7109375" style="1" bestFit="1" customWidth="1"/>
    <col min="3" max="3" width="11" style="1" bestFit="1" customWidth="1"/>
    <col min="4" max="4" width="9.140625" style="1"/>
    <col min="5" max="7" width="12" style="1" bestFit="1" customWidth="1"/>
    <col min="8" max="8" width="9.140625" style="1"/>
    <col min="9" max="12" width="12" style="1" bestFit="1" customWidth="1"/>
    <col min="13" max="13" width="2.85546875" customWidth="1"/>
    <col min="15" max="15" width="23.28515625" customWidth="1"/>
    <col min="16" max="16" width="22.85546875" customWidth="1"/>
  </cols>
  <sheetData>
    <row r="1" spans="1:15" ht="15.75" thickBot="1" x14ac:dyDescent="0.3">
      <c r="A1" s="2"/>
      <c r="B1" s="4"/>
      <c r="C1" s="4"/>
      <c r="D1" s="4"/>
      <c r="E1" s="4"/>
      <c r="F1" s="4"/>
      <c r="G1" s="4"/>
      <c r="H1" s="4"/>
      <c r="I1" s="4"/>
      <c r="J1" s="4"/>
      <c r="K1" s="4"/>
      <c r="L1" s="4"/>
      <c r="M1" s="2"/>
    </row>
    <row r="2" spans="1:15" x14ac:dyDescent="0.25">
      <c r="A2" s="2"/>
      <c r="B2" s="5" t="s">
        <v>1</v>
      </c>
      <c r="C2" s="10" t="s">
        <v>0</v>
      </c>
      <c r="D2" s="11">
        <v>0</v>
      </c>
      <c r="E2" s="12">
        <v>0.02</v>
      </c>
      <c r="F2" s="12">
        <v>0.04</v>
      </c>
      <c r="G2" s="12">
        <v>0.06</v>
      </c>
      <c r="H2" s="12">
        <v>0.08</v>
      </c>
      <c r="I2" s="12">
        <v>0.1</v>
      </c>
      <c r="J2" s="12">
        <v>0.12</v>
      </c>
      <c r="K2" s="12">
        <v>0.16</v>
      </c>
      <c r="L2" s="12">
        <v>0.2</v>
      </c>
      <c r="M2" s="2"/>
      <c r="O2" s="16" t="s">
        <v>11</v>
      </c>
    </row>
    <row r="3" spans="1:15" x14ac:dyDescent="0.25">
      <c r="A3" s="2"/>
      <c r="B3" s="5">
        <v>50</v>
      </c>
      <c r="C3" s="13" t="s">
        <v>5</v>
      </c>
      <c r="D3" s="7"/>
      <c r="E3" s="4"/>
      <c r="F3" s="4"/>
      <c r="G3" s="4"/>
      <c r="H3" s="4"/>
      <c r="I3" s="4"/>
      <c r="J3" s="4"/>
      <c r="K3" s="4"/>
      <c r="L3" s="4"/>
      <c r="M3" s="2"/>
      <c r="O3" s="17"/>
    </row>
    <row r="4" spans="1:15" x14ac:dyDescent="0.25">
      <c r="A4" s="2"/>
      <c r="B4" s="4">
        <v>100</v>
      </c>
      <c r="C4" s="13" t="s">
        <v>6</v>
      </c>
      <c r="D4" s="7"/>
      <c r="E4" s="4"/>
      <c r="F4" s="4"/>
      <c r="G4" s="4"/>
      <c r="H4" s="4"/>
      <c r="I4" s="4"/>
      <c r="J4" s="4"/>
      <c r="K4" s="4"/>
      <c r="L4" s="4"/>
      <c r="M4" s="2"/>
      <c r="O4" s="17"/>
    </row>
    <row r="5" spans="1:15" x14ac:dyDescent="0.25">
      <c r="A5" s="2"/>
      <c r="B5" s="4">
        <v>200</v>
      </c>
      <c r="C5" s="13" t="s">
        <v>7</v>
      </c>
      <c r="D5" s="7"/>
      <c r="E5" s="4"/>
      <c r="F5" s="4"/>
      <c r="G5" s="4"/>
      <c r="H5" s="4"/>
      <c r="I5" s="4"/>
      <c r="J5" s="4"/>
      <c r="K5" s="4"/>
      <c r="L5" s="4"/>
      <c r="M5" s="2"/>
      <c r="O5" s="17"/>
    </row>
    <row r="6" spans="1:15" x14ac:dyDescent="0.25">
      <c r="A6" s="2"/>
      <c r="B6" s="4">
        <v>500</v>
      </c>
      <c r="C6" s="13" t="s">
        <v>8</v>
      </c>
      <c r="D6" s="7"/>
      <c r="E6" s="4"/>
      <c r="F6" s="4"/>
      <c r="G6" s="4"/>
      <c r="H6" s="4"/>
      <c r="I6" s="4"/>
      <c r="J6" s="4"/>
      <c r="K6" s="4"/>
      <c r="L6" s="4"/>
      <c r="M6" s="2"/>
      <c r="O6" s="17"/>
    </row>
    <row r="7" spans="1:15" x14ac:dyDescent="0.25">
      <c r="A7" s="2"/>
      <c r="B7" s="4">
        <v>1000</v>
      </c>
      <c r="C7" s="13" t="s">
        <v>9</v>
      </c>
      <c r="D7" s="7"/>
      <c r="E7" s="6"/>
      <c r="F7" s="6"/>
      <c r="G7" s="6"/>
      <c r="H7" s="6"/>
      <c r="I7" s="6"/>
      <c r="J7" s="6"/>
      <c r="K7" s="6"/>
      <c r="L7" s="6"/>
      <c r="M7" s="2"/>
      <c r="O7" s="17"/>
    </row>
    <row r="8" spans="1:15" x14ac:dyDescent="0.25">
      <c r="A8" s="2"/>
      <c r="B8" s="4" t="s">
        <v>3</v>
      </c>
      <c r="C8" s="13" t="s">
        <v>10</v>
      </c>
      <c r="D8" s="14">
        <f>(1-D2)^$B$3</f>
        <v>1</v>
      </c>
      <c r="E8" s="15">
        <f>(1-E2)^5</f>
        <v>0.90392079679999982</v>
      </c>
      <c r="F8" s="15">
        <f t="shared" ref="F8:L8" si="0">(1-F2)^5</f>
        <v>0.81537269759999997</v>
      </c>
      <c r="G8" s="15">
        <f t="shared" si="0"/>
        <v>0.73390402239999986</v>
      </c>
      <c r="H8" s="15">
        <f t="shared" si="0"/>
        <v>0.65908152320000013</v>
      </c>
      <c r="I8" s="15">
        <f t="shared" si="0"/>
        <v>0.59049000000000018</v>
      </c>
      <c r="J8" s="15">
        <f t="shared" si="0"/>
        <v>0.52773191679999998</v>
      </c>
      <c r="K8" s="15">
        <f t="shared" si="0"/>
        <v>0.41821194239999987</v>
      </c>
      <c r="L8" s="15">
        <f t="shared" si="0"/>
        <v>0.32768000000000019</v>
      </c>
      <c r="M8" s="2"/>
      <c r="O8" s="17"/>
    </row>
    <row r="9" spans="1:15" x14ac:dyDescent="0.25">
      <c r="A9" s="2"/>
      <c r="B9" s="4"/>
      <c r="C9" s="4"/>
      <c r="D9" s="4"/>
      <c r="E9" s="4"/>
      <c r="F9" s="4"/>
      <c r="G9" s="4"/>
      <c r="H9" s="4"/>
      <c r="I9" s="4"/>
      <c r="J9" s="4"/>
      <c r="K9" s="4"/>
      <c r="L9" s="4"/>
      <c r="M9" s="2"/>
      <c r="O9" s="17"/>
    </row>
    <row r="10" spans="1:15" x14ac:dyDescent="0.25">
      <c r="A10" s="2"/>
      <c r="B10" s="5" t="s">
        <v>2</v>
      </c>
      <c r="C10" s="10" t="s">
        <v>0</v>
      </c>
      <c r="D10" s="11">
        <v>0</v>
      </c>
      <c r="E10" s="12">
        <v>0.02</v>
      </c>
      <c r="F10" s="12">
        <v>0.04</v>
      </c>
      <c r="G10" s="12">
        <v>0.06</v>
      </c>
      <c r="H10" s="12">
        <v>0.08</v>
      </c>
      <c r="I10" s="12">
        <v>0.1</v>
      </c>
      <c r="J10" s="12">
        <v>0.12</v>
      </c>
      <c r="K10" s="12">
        <v>0.16</v>
      </c>
      <c r="L10" s="12">
        <v>0.2</v>
      </c>
      <c r="M10" s="2"/>
      <c r="O10" s="17"/>
    </row>
    <row r="11" spans="1:15" x14ac:dyDescent="0.25">
      <c r="A11" s="2"/>
      <c r="B11" s="5">
        <v>50</v>
      </c>
      <c r="C11" s="13" t="s">
        <v>5</v>
      </c>
      <c r="D11" s="7"/>
      <c r="E11" s="4"/>
      <c r="F11" s="4"/>
      <c r="G11" s="4"/>
      <c r="H11" s="4"/>
      <c r="I11" s="4"/>
      <c r="J11" s="4"/>
      <c r="K11" s="4"/>
      <c r="L11" s="4"/>
      <c r="M11" s="2"/>
      <c r="O11" s="17"/>
    </row>
    <row r="12" spans="1:15" x14ac:dyDescent="0.25">
      <c r="A12" s="2"/>
      <c r="B12" s="4">
        <v>100</v>
      </c>
      <c r="C12" s="13" t="s">
        <v>6</v>
      </c>
      <c r="D12" s="7"/>
      <c r="E12" s="6"/>
      <c r="F12" s="6"/>
      <c r="G12" s="6"/>
      <c r="H12" s="6"/>
      <c r="I12" s="6"/>
      <c r="J12" s="6"/>
      <c r="K12" s="6"/>
      <c r="L12" s="6"/>
      <c r="M12" s="2"/>
      <c r="O12" s="17"/>
    </row>
    <row r="13" spans="1:15" x14ac:dyDescent="0.25">
      <c r="A13" s="2"/>
      <c r="B13" s="4">
        <v>200</v>
      </c>
      <c r="C13" s="13" t="s">
        <v>7</v>
      </c>
      <c r="D13" s="7"/>
      <c r="E13" s="4"/>
      <c r="F13" s="4"/>
      <c r="G13" s="4"/>
      <c r="H13" s="4"/>
      <c r="I13" s="4"/>
      <c r="J13" s="4"/>
      <c r="K13" s="4"/>
      <c r="L13" s="4"/>
      <c r="M13" s="2"/>
      <c r="O13" s="17"/>
    </row>
    <row r="14" spans="1:15" x14ac:dyDescent="0.25">
      <c r="A14" s="2"/>
      <c r="B14" s="4">
        <v>500</v>
      </c>
      <c r="C14" s="13" t="s">
        <v>8</v>
      </c>
      <c r="D14" s="7"/>
      <c r="E14" s="4"/>
      <c r="F14" s="4"/>
      <c r="G14" s="4"/>
      <c r="H14" s="4"/>
      <c r="I14" s="4"/>
      <c r="J14" s="4"/>
      <c r="K14" s="4"/>
      <c r="L14" s="4"/>
      <c r="M14" s="2"/>
      <c r="O14" s="17"/>
    </row>
    <row r="15" spans="1:15" x14ac:dyDescent="0.25">
      <c r="A15" s="2"/>
      <c r="B15" s="4">
        <v>1000</v>
      </c>
      <c r="C15" s="13" t="s">
        <v>9</v>
      </c>
      <c r="D15" s="7"/>
      <c r="E15" s="6"/>
      <c r="F15" s="6"/>
      <c r="G15" s="6"/>
      <c r="H15" s="6"/>
      <c r="I15" s="6"/>
      <c r="J15" s="6"/>
      <c r="K15" s="6"/>
      <c r="L15" s="6"/>
      <c r="M15" s="2"/>
      <c r="O15" s="17"/>
    </row>
    <row r="16" spans="1:15" x14ac:dyDescent="0.25">
      <c r="A16" s="2"/>
      <c r="B16" s="4" t="s">
        <v>3</v>
      </c>
      <c r="C16" s="13" t="s">
        <v>10</v>
      </c>
      <c r="D16" s="14">
        <f>(1-D10)^10</f>
        <v>1</v>
      </c>
      <c r="E16" s="15">
        <f>(1-E10)^10</f>
        <v>0.81707280688754658</v>
      </c>
      <c r="F16" s="15">
        <f t="shared" ref="F16:L16" si="1">(1-F10)^10</f>
        <v>0.664832635991501</v>
      </c>
      <c r="G16" s="15">
        <f t="shared" si="1"/>
        <v>0.53861511409489959</v>
      </c>
      <c r="H16" s="15">
        <f t="shared" si="1"/>
        <v>0.43438845422363231</v>
      </c>
      <c r="I16" s="15">
        <f t="shared" si="1"/>
        <v>0.34867844010000015</v>
      </c>
      <c r="J16" s="15">
        <f t="shared" si="1"/>
        <v>0.2785009760094021</v>
      </c>
      <c r="K16" s="15">
        <f t="shared" si="1"/>
        <v>0.1749012287659808</v>
      </c>
      <c r="L16" s="15">
        <f t="shared" si="1"/>
        <v>0.10737418240000011</v>
      </c>
      <c r="M16" s="2"/>
      <c r="O16" s="17"/>
    </row>
    <row r="17" spans="1:15" x14ac:dyDescent="0.25">
      <c r="A17" s="2"/>
      <c r="B17" s="4"/>
      <c r="C17" s="3"/>
      <c r="D17" s="4"/>
      <c r="E17" s="4"/>
      <c r="F17" s="4"/>
      <c r="G17" s="4"/>
      <c r="H17" s="4"/>
      <c r="I17" s="4"/>
      <c r="J17" s="4"/>
      <c r="K17" s="4"/>
      <c r="L17" s="4"/>
      <c r="M17" s="2"/>
      <c r="O17" s="17"/>
    </row>
    <row r="18" spans="1:15" x14ac:dyDescent="0.25">
      <c r="A18" s="2"/>
      <c r="B18" s="5" t="s">
        <v>4</v>
      </c>
      <c r="C18" s="10" t="s">
        <v>0</v>
      </c>
      <c r="D18" s="11">
        <v>0</v>
      </c>
      <c r="E18" s="12">
        <v>0.02</v>
      </c>
      <c r="F18" s="12">
        <v>0.04</v>
      </c>
      <c r="G18" s="12">
        <v>0.06</v>
      </c>
      <c r="H18" s="12">
        <v>0.08</v>
      </c>
      <c r="I18" s="12">
        <v>0.1</v>
      </c>
      <c r="J18" s="12">
        <v>0.12</v>
      </c>
      <c r="K18" s="12">
        <v>0.16</v>
      </c>
      <c r="L18" s="12">
        <v>0.2</v>
      </c>
      <c r="M18" s="2"/>
      <c r="O18" s="17"/>
    </row>
    <row r="19" spans="1:15" x14ac:dyDescent="0.25">
      <c r="A19" s="2"/>
      <c r="B19" s="5">
        <v>50</v>
      </c>
      <c r="C19" s="13" t="s">
        <v>5</v>
      </c>
      <c r="D19" s="7"/>
      <c r="E19" s="4"/>
      <c r="F19" s="4"/>
      <c r="G19" s="4"/>
      <c r="H19" s="4"/>
      <c r="I19" s="4"/>
      <c r="J19" s="4"/>
      <c r="K19" s="4"/>
      <c r="L19" s="4"/>
      <c r="M19" s="2"/>
      <c r="O19" s="17"/>
    </row>
    <row r="20" spans="1:15" x14ac:dyDescent="0.25">
      <c r="A20" s="2"/>
      <c r="B20" s="4">
        <v>100</v>
      </c>
      <c r="C20" s="13" t="s">
        <v>6</v>
      </c>
      <c r="D20" s="7"/>
      <c r="E20" s="4"/>
      <c r="F20" s="4"/>
      <c r="G20" s="4"/>
      <c r="H20" s="4"/>
      <c r="I20" s="4"/>
      <c r="J20" s="4"/>
      <c r="K20" s="4"/>
      <c r="L20" s="4"/>
      <c r="M20" s="2"/>
      <c r="O20" s="17"/>
    </row>
    <row r="21" spans="1:15" x14ac:dyDescent="0.25">
      <c r="A21" s="2"/>
      <c r="B21" s="4">
        <v>200</v>
      </c>
      <c r="C21" s="13" t="s">
        <v>7</v>
      </c>
      <c r="D21" s="7"/>
      <c r="E21" s="4"/>
      <c r="F21" s="4"/>
      <c r="G21" s="4"/>
      <c r="H21" s="4"/>
      <c r="I21" s="4"/>
      <c r="J21" s="4"/>
      <c r="K21" s="4"/>
      <c r="L21" s="4"/>
      <c r="M21" s="2"/>
      <c r="O21" s="17"/>
    </row>
    <row r="22" spans="1:15" x14ac:dyDescent="0.25">
      <c r="A22" s="2"/>
      <c r="B22" s="4">
        <v>500</v>
      </c>
      <c r="C22" s="13" t="s">
        <v>8</v>
      </c>
      <c r="D22" s="7"/>
      <c r="E22" s="4"/>
      <c r="F22" s="4"/>
      <c r="G22" s="4"/>
      <c r="H22" s="4"/>
      <c r="I22" s="4"/>
      <c r="J22" s="4"/>
      <c r="K22" s="4"/>
      <c r="L22" s="4"/>
      <c r="M22" s="2"/>
      <c r="O22" s="17"/>
    </row>
    <row r="23" spans="1:15" x14ac:dyDescent="0.25">
      <c r="A23" s="2"/>
      <c r="B23" s="4">
        <v>1000</v>
      </c>
      <c r="C23" s="13" t="s">
        <v>9</v>
      </c>
      <c r="D23" s="7"/>
      <c r="E23" s="6"/>
      <c r="F23" s="6"/>
      <c r="G23" s="6"/>
      <c r="H23" s="6"/>
      <c r="I23" s="6"/>
      <c r="J23" s="6"/>
      <c r="K23" s="6"/>
      <c r="L23" s="6"/>
      <c r="M23" s="2"/>
      <c r="O23" s="17"/>
    </row>
    <row r="24" spans="1:15" x14ac:dyDescent="0.25">
      <c r="A24" s="2"/>
      <c r="B24" s="4" t="s">
        <v>3</v>
      </c>
      <c r="C24" s="13" t="s">
        <v>10</v>
      </c>
      <c r="D24" s="14">
        <f>(1-D18)^20</f>
        <v>1</v>
      </c>
      <c r="E24" s="15">
        <f>(1-E18)^20</f>
        <v>0.66760797175509412</v>
      </c>
      <c r="F24" s="15">
        <f t="shared" ref="F24:L24" si="2">(1-F18)^20</f>
        <v>0.44200243387940769</v>
      </c>
      <c r="G24" s="15">
        <f t="shared" si="2"/>
        <v>0.29010624113146172</v>
      </c>
      <c r="H24" s="15">
        <f t="shared" si="2"/>
        <v>0.18869332916279669</v>
      </c>
      <c r="I24" s="15">
        <f t="shared" si="2"/>
        <v>0.12157665459056941</v>
      </c>
      <c r="J24" s="15">
        <f t="shared" si="2"/>
        <v>7.7562793638189576E-2</v>
      </c>
      <c r="K24" s="15">
        <f t="shared" si="2"/>
        <v>3.0590439823849954E-2</v>
      </c>
      <c r="L24" s="15">
        <f t="shared" si="2"/>
        <v>1.1529215046068495E-2</v>
      </c>
      <c r="M24" s="2"/>
      <c r="O24" s="17"/>
    </row>
    <row r="25" spans="1:15" ht="15.75" thickBot="1" x14ac:dyDescent="0.3">
      <c r="A25" s="2"/>
      <c r="B25" s="4"/>
      <c r="C25" s="4"/>
      <c r="D25" s="4"/>
      <c r="E25" s="4"/>
      <c r="F25" s="4"/>
      <c r="G25" s="4"/>
      <c r="H25" s="4"/>
      <c r="I25" s="4"/>
      <c r="J25" s="4"/>
      <c r="K25" s="4"/>
      <c r="L25" s="4"/>
      <c r="M25" s="2"/>
      <c r="O25" s="18"/>
    </row>
    <row r="26" spans="1:15" x14ac:dyDescent="0.25">
      <c r="A26" s="8"/>
      <c r="B26" s="9"/>
      <c r="C26" s="9"/>
      <c r="D26" s="9"/>
      <c r="E26" s="9"/>
      <c r="F26" s="9"/>
      <c r="G26" s="9"/>
      <c r="H26" s="9"/>
      <c r="I26" s="9"/>
      <c r="J26" s="9"/>
      <c r="K26" s="9"/>
      <c r="L26" s="9"/>
      <c r="M26" s="8"/>
      <c r="N26" s="8"/>
      <c r="O26" s="8"/>
    </row>
    <row r="27" spans="1:15" x14ac:dyDescent="0.25">
      <c r="A27" s="8"/>
      <c r="B27" s="9"/>
      <c r="C27" s="9"/>
      <c r="D27" s="9"/>
      <c r="E27" s="9"/>
      <c r="F27" s="9"/>
      <c r="G27" s="9"/>
      <c r="H27" s="9"/>
      <c r="I27" s="9"/>
      <c r="J27" s="9"/>
      <c r="K27" s="9"/>
      <c r="L27" s="9"/>
      <c r="M27" s="8"/>
      <c r="N27" s="8"/>
      <c r="O27" s="8"/>
    </row>
    <row r="28" spans="1:15" x14ac:dyDescent="0.25">
      <c r="A28" s="8"/>
      <c r="B28" s="9"/>
      <c r="C28" s="9"/>
      <c r="D28" s="9"/>
      <c r="E28" s="9"/>
      <c r="F28" s="9"/>
      <c r="G28" s="9"/>
      <c r="H28" s="9"/>
      <c r="I28" s="9"/>
      <c r="J28" s="9"/>
      <c r="K28" s="9"/>
      <c r="L28" s="9"/>
      <c r="M28" s="8"/>
      <c r="N28" s="8"/>
      <c r="O28" s="8"/>
    </row>
    <row r="29" spans="1:15" x14ac:dyDescent="0.25">
      <c r="A29" s="8"/>
      <c r="B29" s="9"/>
      <c r="C29" s="9"/>
      <c r="D29" s="9"/>
      <c r="E29" s="9"/>
      <c r="F29" s="9"/>
      <c r="G29" s="9"/>
      <c r="H29" s="9"/>
      <c r="I29" s="9"/>
      <c r="J29" s="9"/>
      <c r="K29" s="9"/>
      <c r="L29" s="9"/>
      <c r="M29" s="8"/>
      <c r="N29" s="8"/>
      <c r="O29" s="8"/>
    </row>
    <row r="30" spans="1:15" x14ac:dyDescent="0.25">
      <c r="A30" s="8"/>
      <c r="B30" s="9"/>
      <c r="C30" s="9"/>
      <c r="D30" s="9"/>
      <c r="E30" s="9"/>
      <c r="F30" s="9"/>
      <c r="G30" s="9"/>
      <c r="H30" s="9"/>
      <c r="I30" s="9"/>
      <c r="J30" s="9"/>
      <c r="K30" s="9"/>
      <c r="L30" s="9"/>
      <c r="M30" s="8"/>
      <c r="N30" s="8"/>
      <c r="O30" s="8"/>
    </row>
    <row r="31" spans="1:15" x14ac:dyDescent="0.25">
      <c r="A31" s="8"/>
      <c r="B31" s="9"/>
      <c r="C31" s="9"/>
      <c r="D31" s="9"/>
      <c r="E31" s="9"/>
      <c r="F31" s="9"/>
      <c r="G31" s="9"/>
      <c r="H31" s="9"/>
      <c r="I31" s="9"/>
      <c r="J31" s="9"/>
      <c r="K31" s="9"/>
      <c r="L31" s="9"/>
      <c r="M31" s="8"/>
      <c r="N31" s="8"/>
      <c r="O31" s="8"/>
    </row>
  </sheetData>
  <mergeCells count="1">
    <mergeCell ref="O2:O25"/>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86E5A-71E0-42B7-A77C-A25741FA4838}">
  <sheetPr codeName="Sheet3"/>
  <dimension ref="A1"/>
  <sheetViews>
    <sheetView workbookViewId="0">
      <selection activeCell="S10" sqref="S10"/>
    </sheetView>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83DCB-969A-4F80-951E-56C9234F975F}">
  <sheetPr codeName="Sheet4"/>
  <dimension ref="A1"/>
  <sheetViews>
    <sheetView workbookViewId="0">
      <selection activeCell="R16" sqref="R16"/>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E306D-2978-4055-8337-41EEF6DE0A8F}">
  <sheetPr codeName="Sheet5"/>
  <dimension ref="A1"/>
  <sheetViews>
    <sheetView workbookViewId="0">
      <selection activeCell="S5" sqref="S5"/>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Tables</vt:lpstr>
      <vt:lpstr>OC Curves for Scheme A</vt:lpstr>
      <vt:lpstr>OC Curves for Scheme B</vt:lpstr>
      <vt:lpstr>OC Curves for Scheme 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dc:creator>
  <cp:lastModifiedBy>Patrick</cp:lastModifiedBy>
  <cp:lastPrinted>2019-02-07T15:10:27Z</cp:lastPrinted>
  <dcterms:created xsi:type="dcterms:W3CDTF">2019-02-07T15:03:03Z</dcterms:created>
  <dcterms:modified xsi:type="dcterms:W3CDTF">2019-02-08T18:27:13Z</dcterms:modified>
</cp:coreProperties>
</file>